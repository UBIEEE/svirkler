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rkl\Downloads\"/>
    </mc:Choice>
  </mc:AlternateContent>
  <xr:revisionPtr revIDLastSave="0" documentId="13_ncr:1_{4B03189B-E2B9-45AD-9DD2-6861F2AE6729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26" i="1"/>
  <c r="H27" i="1"/>
  <c r="H15" i="1"/>
  <c r="H16" i="1"/>
  <c r="H21" i="1"/>
  <c r="H20" i="1"/>
  <c r="H19" i="1"/>
  <c r="H18" i="1"/>
  <c r="H17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K3" i="1" l="1"/>
</calcChain>
</file>

<file path=xl/sharedStrings.xml><?xml version="1.0" encoding="utf-8"?>
<sst xmlns="http://schemas.openxmlformats.org/spreadsheetml/2006/main" count="62" uniqueCount="60">
  <si>
    <t>Schematic Reference</t>
  </si>
  <si>
    <t>Component Type</t>
  </si>
  <si>
    <t>Part</t>
  </si>
  <si>
    <t>Link</t>
  </si>
  <si>
    <t>Quantity</t>
  </si>
  <si>
    <t>Unit Price</t>
  </si>
  <si>
    <t>Should Order?</t>
  </si>
  <si>
    <t>Total Price</t>
  </si>
  <si>
    <t>U1</t>
  </si>
  <si>
    <t>Microcontroller</t>
  </si>
  <si>
    <t>TOTAL</t>
  </si>
  <si>
    <t>https://www.adafruit.com/product/4683</t>
  </si>
  <si>
    <t>Buck Converter</t>
  </si>
  <si>
    <t>ESP32 Devkit C</t>
  </si>
  <si>
    <t>MPM3610 3.3V 1.2A</t>
  </si>
  <si>
    <t>https://www.digikey.com.mx/en/products/detail/espressif-systems/ESP32-DEVKITC-VIE/12091811</t>
  </si>
  <si>
    <t>Motor</t>
  </si>
  <si>
    <t>Gearmotor 650rpm 6V</t>
  </si>
  <si>
    <t>https://www.digikey.com.mx/en/products/detail/pololu/3073/10450075</t>
  </si>
  <si>
    <t>Encoder</t>
  </si>
  <si>
    <t>Encoder mag digital vert</t>
  </si>
  <si>
    <t>https://www.digikey.com.mx/en/products/detail/pololu/3081/10450612</t>
  </si>
  <si>
    <t>Motor Driver</t>
  </si>
  <si>
    <t>DRV8833 Dual Motor driver</t>
  </si>
  <si>
    <t>https://www.digikey.com.mx/en/products/detail/pololu/2130/10450426</t>
  </si>
  <si>
    <t>Display</t>
  </si>
  <si>
    <t>WEA012864DBPP3N00003</t>
  </si>
  <si>
    <t>https://www.digikey.com/en/products/detail/winstar-display/WEA012864DBPP3N00003/20533257</t>
  </si>
  <si>
    <t>Breadboard</t>
  </si>
  <si>
    <t>Gears</t>
  </si>
  <si>
    <t>Tires</t>
  </si>
  <si>
    <t>Wheels</t>
  </si>
  <si>
    <t>IMU</t>
  </si>
  <si>
    <t>https://www.adafruit.com/product/4517</t>
  </si>
  <si>
    <t>LSM6DSOX+LIS3MDL 9 DoF IMU</t>
  </si>
  <si>
    <t>LSM6DS3TR-C 6-DOF IMU</t>
  </si>
  <si>
    <t>https://www.adafruit.com/product/4503</t>
  </si>
  <si>
    <t>https://www.digikey.com/en/products/detail/adafruit-industries-llc/239/7244929</t>
  </si>
  <si>
    <t>2.2" x 7" Solderless Breadboard</t>
  </si>
  <si>
    <t>IR Transistor setting</t>
  </si>
  <si>
    <t>IR Emitter</t>
  </si>
  <si>
    <t>IR reciever</t>
  </si>
  <si>
    <t>https://www.digikey.com/en/products/detail/ams-osram-ag/SFH-4545/2205955</t>
  </si>
  <si>
    <t>EMITTER IR 950NM 100MA RADIAL</t>
  </si>
  <si>
    <t>https://www.digikey.com/en/products/detail/vishay-semiconductor-opto-division/TEFT4300/1681175</t>
  </si>
  <si>
    <t>https://www.digikey.com/en/products/detail/diotec-semiconductor/2N3904/13164701</t>
  </si>
  <si>
    <t>TRANS NPN 40V 0.2A TO-92</t>
  </si>
  <si>
    <t>PHOTOTRANSISTOR 875 TO 1000 NM</t>
  </si>
  <si>
    <t>Will 3d Print</t>
  </si>
  <si>
    <t>Will get this one to save cost if necessary</t>
  </si>
  <si>
    <t>Frame</t>
  </si>
  <si>
    <t>Batteries</t>
  </si>
  <si>
    <t>BATTERY LITHIUM 3.2V 1.5AH 18650</t>
  </si>
  <si>
    <t>https://www.digikey.com/en/products/detail/zeus-battery-products/PCIFR18650-1500/9828824</t>
  </si>
  <si>
    <t>https://www.digikey.com/en/products/detail/yageo/MFR-25FTE52-18R/9139831</t>
  </si>
  <si>
    <t>Resistor, 18ohm</t>
  </si>
  <si>
    <t>RES 18 OHM 1% 1/4W AXIAL</t>
  </si>
  <si>
    <t>Resistor, 220ohm</t>
  </si>
  <si>
    <t>https://www.digikey.com/en/products/detail/stackpole-electronics-inc/CFM12JT220R/1741901</t>
  </si>
  <si>
    <t>RES 220 OHM 5% 1/2W AXIAL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</si>
</sst>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$-409]#,##0.00;[Red]\-[$$-409]#,##0.00"/>
    <numFmt numFmtId="165" formatCode="&quot;TRUE&quot;;&quot;TRUE&quot;;&quot;FALSE&quot;"/>
  </numFmts>
  <fonts count="3" x14ac:knownFonts="1">
    <font>
      <sz val="10"/>
      <name val="Arial"/>
      <family val="2"/>
    </font>
    <font>
      <sz val="10"/>
      <name val="Arial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0" fontId="0" fillId="0" borderId="0" xfId="0" applyFill="1"/>
    <xf numFmtId="44" fontId="1" fillId="0" borderId="0" xfId="1"/>
    <xf numFmtId="0" fontId="2" fillId="0" borderId="0" xfId="2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.mx/en/products/detail/espressif-systems/ESP32-DEVKITC-VIE/12091811" TargetMode="External"/><Relationship Id="rId1" Type="http://schemas.openxmlformats.org/officeDocument/2006/relationships/hyperlink" Target="https://www.digikey.com/en/products/detail/vishay-semiconductor-opto-division/TEFT4300/16811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activeCell="F27" sqref="F27"/>
    </sheetView>
  </sheetViews>
  <sheetFormatPr defaultColWidth="11.5546875" defaultRowHeight="13.2" x14ac:dyDescent="0.25"/>
  <cols>
    <col min="1" max="1" width="18.77734375" customWidth="1"/>
    <col min="2" max="2" width="15.21875" customWidth="1"/>
    <col min="3" max="3" width="18.88671875" customWidth="1"/>
    <col min="4" max="4" width="32.6640625" customWidth="1"/>
    <col min="6" max="6" width="11.5546875" style="6"/>
    <col min="7" max="7" width="13.21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</row>
    <row r="2" spans="1:11" x14ac:dyDescent="0.25">
      <c r="A2" t="s">
        <v>8</v>
      </c>
      <c r="B2" t="s">
        <v>9</v>
      </c>
      <c r="C2" t="s">
        <v>13</v>
      </c>
      <c r="D2" s="7" t="s">
        <v>15</v>
      </c>
      <c r="E2">
        <v>1</v>
      </c>
      <c r="F2" s="6">
        <v>11</v>
      </c>
      <c r="G2" s="3" t="b">
        <v>1</v>
      </c>
      <c r="H2" s="2">
        <f t="shared" ref="H2:H27" si="0">E2*F2*G2</f>
        <v>11</v>
      </c>
      <c r="K2" s="1" t="s">
        <v>10</v>
      </c>
    </row>
    <row r="3" spans="1:11" x14ac:dyDescent="0.25">
      <c r="B3" t="s">
        <v>12</v>
      </c>
      <c r="C3" t="s">
        <v>14</v>
      </c>
      <c r="D3" t="s">
        <v>11</v>
      </c>
      <c r="E3">
        <v>1</v>
      </c>
      <c r="F3" s="6">
        <v>5.95</v>
      </c>
      <c r="G3" t="b">
        <v>1</v>
      </c>
      <c r="H3" s="2">
        <f t="shared" si="0"/>
        <v>5.95</v>
      </c>
      <c r="K3" s="2">
        <f>SUM(H2:H21)</f>
        <v>145.99999999999997</v>
      </c>
    </row>
    <row r="4" spans="1:11" x14ac:dyDescent="0.25">
      <c r="B4" t="s">
        <v>16</v>
      </c>
      <c r="C4" t="s">
        <v>17</v>
      </c>
      <c r="D4" t="s">
        <v>18</v>
      </c>
      <c r="E4">
        <v>2</v>
      </c>
      <c r="F4" s="6">
        <v>27.45</v>
      </c>
      <c r="G4" t="b">
        <v>1</v>
      </c>
      <c r="H4" s="2">
        <f t="shared" si="0"/>
        <v>54.9</v>
      </c>
    </row>
    <row r="5" spans="1:11" x14ac:dyDescent="0.25">
      <c r="B5" t="s">
        <v>19</v>
      </c>
      <c r="C5" t="s">
        <v>20</v>
      </c>
      <c r="D5" t="s">
        <v>21</v>
      </c>
      <c r="E5">
        <v>1</v>
      </c>
      <c r="F5" s="6">
        <v>9.9499999999999993</v>
      </c>
      <c r="G5" t="b">
        <v>1</v>
      </c>
      <c r="H5" s="2">
        <f t="shared" si="0"/>
        <v>9.9499999999999993</v>
      </c>
    </row>
    <row r="6" spans="1:11" x14ac:dyDescent="0.25">
      <c r="B6" t="s">
        <v>22</v>
      </c>
      <c r="C6" t="s">
        <v>23</v>
      </c>
      <c r="D6" t="s">
        <v>24</v>
      </c>
      <c r="E6">
        <v>1</v>
      </c>
      <c r="F6" s="6">
        <v>10.95</v>
      </c>
      <c r="G6" t="b">
        <v>1</v>
      </c>
      <c r="H6" s="2">
        <f t="shared" si="0"/>
        <v>10.95</v>
      </c>
    </row>
    <row r="7" spans="1:11" x14ac:dyDescent="0.25">
      <c r="B7" t="s">
        <v>25</v>
      </c>
      <c r="C7" t="s">
        <v>26</v>
      </c>
      <c r="D7" t="s">
        <v>27</v>
      </c>
      <c r="E7">
        <v>1</v>
      </c>
      <c r="F7" s="6">
        <v>7.82</v>
      </c>
      <c r="G7" t="b">
        <v>1</v>
      </c>
      <c r="H7" s="2">
        <f t="shared" si="0"/>
        <v>7.82</v>
      </c>
    </row>
    <row r="8" spans="1:11" x14ac:dyDescent="0.25">
      <c r="B8" s="5" t="s">
        <v>28</v>
      </c>
      <c r="C8" t="s">
        <v>38</v>
      </c>
      <c r="D8" t="s">
        <v>37</v>
      </c>
      <c r="E8">
        <v>1</v>
      </c>
      <c r="F8" s="6">
        <v>5.95</v>
      </c>
      <c r="G8" t="b">
        <v>1</v>
      </c>
      <c r="H8" s="2">
        <f t="shared" si="0"/>
        <v>5.95</v>
      </c>
    </row>
    <row r="9" spans="1:11" x14ac:dyDescent="0.25">
      <c r="B9" s="4" t="s">
        <v>29</v>
      </c>
      <c r="E9">
        <v>6</v>
      </c>
      <c r="G9" t="b">
        <v>1</v>
      </c>
      <c r="H9" s="2">
        <f t="shared" si="0"/>
        <v>0</v>
      </c>
    </row>
    <row r="10" spans="1:11" x14ac:dyDescent="0.25">
      <c r="B10" s="4" t="s">
        <v>30</v>
      </c>
      <c r="E10">
        <v>4</v>
      </c>
      <c r="G10" t="b">
        <v>1</v>
      </c>
      <c r="H10" s="2">
        <f t="shared" si="0"/>
        <v>0</v>
      </c>
    </row>
    <row r="11" spans="1:11" x14ac:dyDescent="0.25">
      <c r="B11" s="4" t="s">
        <v>31</v>
      </c>
      <c r="E11">
        <v>4</v>
      </c>
      <c r="G11" t="b">
        <v>0</v>
      </c>
      <c r="H11" s="2">
        <f t="shared" si="0"/>
        <v>0</v>
      </c>
      <c r="I11" t="s">
        <v>48</v>
      </c>
    </row>
    <row r="12" spans="1:11" x14ac:dyDescent="0.25">
      <c r="B12" s="5" t="s">
        <v>40</v>
      </c>
      <c r="C12" t="s">
        <v>43</v>
      </c>
      <c r="D12" t="s">
        <v>42</v>
      </c>
      <c r="E12">
        <v>3</v>
      </c>
      <c r="F12" s="6">
        <v>0.79</v>
      </c>
      <c r="G12" t="b">
        <v>1</v>
      </c>
      <c r="H12" s="2">
        <f t="shared" si="0"/>
        <v>2.37</v>
      </c>
    </row>
    <row r="13" spans="1:11" x14ac:dyDescent="0.25">
      <c r="B13" s="5" t="s">
        <v>32</v>
      </c>
      <c r="C13" t="s">
        <v>34</v>
      </c>
      <c r="D13" t="s">
        <v>33</v>
      </c>
      <c r="E13">
        <v>1</v>
      </c>
      <c r="F13" s="6">
        <v>19.95</v>
      </c>
      <c r="G13" t="b">
        <v>1</v>
      </c>
      <c r="H13" s="2">
        <f t="shared" si="0"/>
        <v>19.95</v>
      </c>
    </row>
    <row r="14" spans="1:11" x14ac:dyDescent="0.25">
      <c r="B14" s="5" t="s">
        <v>32</v>
      </c>
      <c r="C14" t="s">
        <v>35</v>
      </c>
      <c r="D14" t="s">
        <v>36</v>
      </c>
      <c r="E14">
        <v>1</v>
      </c>
      <c r="F14" s="6">
        <v>9.9499999999999993</v>
      </c>
      <c r="G14" t="b">
        <v>0</v>
      </c>
      <c r="H14" s="2">
        <f t="shared" si="0"/>
        <v>0</v>
      </c>
      <c r="I14" t="s">
        <v>49</v>
      </c>
    </row>
    <row r="15" spans="1:11" x14ac:dyDescent="0.25">
      <c r="B15" s="5" t="s">
        <v>39</v>
      </c>
      <c r="C15" t="s">
        <v>46</v>
      </c>
      <c r="D15" t="s">
        <v>45</v>
      </c>
      <c r="E15">
        <v>10</v>
      </c>
      <c r="F15" s="6">
        <v>7.0000000000000007E-2</v>
      </c>
      <c r="G15" t="b">
        <v>1</v>
      </c>
      <c r="H15" s="2">
        <f t="shared" si="0"/>
        <v>0.70000000000000007</v>
      </c>
    </row>
    <row r="16" spans="1:11" x14ac:dyDescent="0.25">
      <c r="B16" s="5" t="s">
        <v>41</v>
      </c>
      <c r="C16" t="s">
        <v>47</v>
      </c>
      <c r="D16" s="7" t="s">
        <v>44</v>
      </c>
      <c r="E16">
        <v>3</v>
      </c>
      <c r="F16" s="6">
        <v>0.7</v>
      </c>
      <c r="G16" t="b">
        <v>1</v>
      </c>
      <c r="H16" s="2">
        <f t="shared" si="0"/>
        <v>2.0999999999999996</v>
      </c>
    </row>
    <row r="17" spans="2:9" x14ac:dyDescent="0.25">
      <c r="B17" s="5" t="s">
        <v>50</v>
      </c>
      <c r="E17">
        <v>1</v>
      </c>
      <c r="G17" t="b">
        <v>0</v>
      </c>
      <c r="H17" s="2">
        <f t="shared" si="0"/>
        <v>0</v>
      </c>
      <c r="I17" t="s">
        <v>48</v>
      </c>
    </row>
    <row r="18" spans="2:9" x14ac:dyDescent="0.25">
      <c r="B18" s="5" t="s">
        <v>51</v>
      </c>
      <c r="C18" t="s">
        <v>52</v>
      </c>
      <c r="D18" t="s">
        <v>53</v>
      </c>
      <c r="E18">
        <v>2</v>
      </c>
      <c r="F18" s="6">
        <v>6.81</v>
      </c>
      <c r="G18" t="b">
        <v>1</v>
      </c>
      <c r="H18" s="2">
        <f t="shared" si="0"/>
        <v>13.62</v>
      </c>
    </row>
    <row r="19" spans="2:9" x14ac:dyDescent="0.25">
      <c r="B19" s="5" t="s">
        <v>55</v>
      </c>
      <c r="C19" t="s">
        <v>56</v>
      </c>
      <c r="D19" t="s">
        <v>54</v>
      </c>
      <c r="E19">
        <v>10</v>
      </c>
      <c r="F19" s="6">
        <v>4.2000000000000003E-2</v>
      </c>
      <c r="G19" t="b">
        <v>1</v>
      </c>
      <c r="H19" s="2">
        <f t="shared" si="0"/>
        <v>0.42000000000000004</v>
      </c>
    </row>
    <row r="20" spans="2:9" x14ac:dyDescent="0.25">
      <c r="B20" s="5" t="s">
        <v>57</v>
      </c>
      <c r="C20" t="s">
        <v>59</v>
      </c>
      <c r="D20" t="s">
        <v>58</v>
      </c>
      <c r="E20">
        <v>10</v>
      </c>
      <c r="F20" s="6">
        <v>3.2000000000000001E-2</v>
      </c>
      <c r="G20" t="b">
        <v>1</v>
      </c>
      <c r="H20" s="2">
        <f t="shared" si="0"/>
        <v>0.32</v>
      </c>
    </row>
    <row r="21" spans="2:9" x14ac:dyDescent="0.25">
      <c r="H21" s="2">
        <f t="shared" si="0"/>
        <v>0</v>
      </c>
    </row>
    <row r="22" spans="2:9" x14ac:dyDescent="0.25">
      <c r="H22" s="2">
        <f t="shared" si="0"/>
        <v>0</v>
      </c>
    </row>
    <row r="23" spans="2:9" x14ac:dyDescent="0.25">
      <c r="H23" s="2">
        <f t="shared" si="0"/>
        <v>0</v>
      </c>
    </row>
    <row r="24" spans="2:9" x14ac:dyDescent="0.25">
      <c r="H24" s="2">
        <f t="shared" si="0"/>
        <v>0</v>
      </c>
    </row>
    <row r="25" spans="2:9" x14ac:dyDescent="0.25">
      <c r="H25" s="2">
        <f t="shared" si="0"/>
        <v>0</v>
      </c>
    </row>
    <row r="26" spans="2:9" x14ac:dyDescent="0.25">
      <c r="H26" s="2">
        <f t="shared" si="0"/>
        <v>0</v>
      </c>
    </row>
    <row r="27" spans="2:9" x14ac:dyDescent="0.25">
      <c r="H27" s="2">
        <f t="shared" si="0"/>
        <v>0</v>
      </c>
    </row>
  </sheetData>
  <hyperlinks>
    <hyperlink ref="D16" r:id="rId1" xr:uid="{67F3C60C-F833-4BB7-99CB-E37941DB6738}"/>
    <hyperlink ref="D2" r:id="rId2" xr:uid="{37308D2F-A3AA-43A7-AD64-F591032BA1AB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3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Sam Virkler</cp:lastModifiedBy>
  <cp:revision>2</cp:revision>
  <dcterms:created xsi:type="dcterms:W3CDTF">2026-09-15T14:17:52Z</dcterms:created>
  <dcterms:modified xsi:type="dcterms:W3CDTF">2026-09-21T00:53:37Z</dcterms:modified>
  <dc:language>en-US</dc:language>
</cp:coreProperties>
</file>